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lan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6">
    <font>
      <name val="Calibri"/>
      <family val="2"/>
      <color theme="1"/>
      <sz val="11"/>
      <scheme val="minor"/>
    </font>
    <font>
      <name val="Calibri"/>
      <b val="1"/>
      <sz val="13"/>
    </font>
    <font>
      <name val="Calibri"/>
      <b val="1"/>
      <sz val="10"/>
    </font>
    <font>
      <name val="Calibri"/>
      <b val="1"/>
      <color rgb="00FFFFFF"/>
      <sz val="10"/>
    </font>
    <font>
      <name val="Calibri"/>
      <sz val="10"/>
    </font>
    <font>
      <name val="Calibri"/>
      <i val="1"/>
      <color rgb="00666666"/>
      <sz val="9"/>
    </font>
  </fonts>
  <fills count="6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404040"/>
      </patternFill>
    </fill>
    <fill>
      <patternFill patternType="solid">
        <fgColor rgb="00FFFF00"/>
      </patternFill>
    </fill>
    <fill>
      <patternFill patternType="solid">
        <f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right" vertical="center"/>
    </xf>
    <xf numFmtId="0" fontId="2" fillId="2" borderId="1" applyAlignment="1" pivotButton="0" quotePrefix="0" xfId="0">
      <alignment horizontal="right" vertical="center"/>
    </xf>
    <xf numFmtId="0" fontId="0" fillId="2" borderId="1" pivotButton="0" quotePrefix="0" xfId="0"/>
    <xf numFmtId="164" fontId="2" fillId="2" borderId="1" applyAlignment="1" pivotButton="0" quotePrefix="0" xfId="0">
      <alignment horizontal="right" vertical="center"/>
    </xf>
    <xf numFmtId="0" fontId="5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9" customWidth="1" min="3" max="3"/>
    <col width="16" customWidth="1" min="4" max="4"/>
    <col width="16" customWidth="1" min="5" max="5"/>
    <col width="18" customWidth="1" min="6" max="6"/>
    <col width="20" customWidth="1" min="7" max="7"/>
    <col width="14" customWidth="1" min="8" max="8"/>
  </cols>
  <sheetData>
    <row r="1" ht="24" customHeight="1">
      <c r="A1" s="1" t="inlineStr">
        <is>
          <t>Harth at Tamanawis Park Newton</t>
        </is>
      </c>
    </row>
    <row r="2" ht="16" customHeight="1">
      <c r="A2" s="2" t="inlineStr">
        <is>
          <t>Pricing Summary — Unit Type Breakdown</t>
        </is>
      </c>
    </row>
    <row r="3" ht="6" customHeight="1"/>
    <row r="4" ht="20" customHeight="1">
      <c r="A4" s="3" t="inlineStr">
        <is>
          <t>Unit Type</t>
        </is>
      </c>
      <c r="B4" s="3" t="inlineStr">
        <is>
          <t>Plan Name(s)</t>
        </is>
      </c>
      <c r="C4" s="3" t="inlineStr">
        <is>
          <t>Count</t>
        </is>
      </c>
      <c r="D4" s="3" t="inlineStr">
        <is>
          <t>Min Interior SF</t>
        </is>
      </c>
      <c r="E4" s="3" t="inlineStr">
        <is>
          <t>Max Interior SF</t>
        </is>
      </c>
      <c r="F4" s="3" t="inlineStr">
        <is>
          <t>Starting Price</t>
        </is>
      </c>
      <c r="G4" s="3" t="inlineStr">
        <is>
          <t>Est. Top-End Price</t>
        </is>
      </c>
      <c r="H4" s="3" t="inlineStr">
        <is>
          <t>Starting PPSF</t>
        </is>
      </c>
    </row>
    <row r="5" ht="18" customHeight="1">
      <c r="A5" s="4" t="inlineStr">
        <is>
          <t>Studio</t>
        </is>
      </c>
      <c r="B5" s="4" t="inlineStr">
        <is>
          <t>Studio A, Studio B</t>
        </is>
      </c>
      <c r="C5" s="5" t="n">
        <v>5</v>
      </c>
      <c r="D5" s="6" t="n">
        <v>367</v>
      </c>
      <c r="E5" s="6" t="n">
        <v>374</v>
      </c>
      <c r="F5" s="7" t="n">
        <v>499900</v>
      </c>
      <c r="G5" s="7" t="n">
        <v>529900</v>
      </c>
      <c r="H5" s="7">
        <f>IF(D5&gt;0,F5/D5,"-")</f>
        <v/>
      </c>
    </row>
    <row r="6" ht="18" customHeight="1">
      <c r="A6" s="4" t="inlineStr">
        <is>
          <t>1 Bed</t>
        </is>
      </c>
      <c r="B6" s="4" t="inlineStr">
        <is>
          <t>A, A1, Ab</t>
        </is>
      </c>
      <c r="C6" s="5" t="n">
        <v>18</v>
      </c>
      <c r="D6" s="6" t="n">
        <v>510</v>
      </c>
      <c r="E6" s="6" t="n">
        <v>604</v>
      </c>
      <c r="F6" s="7" t="n">
        <v>619900</v>
      </c>
      <c r="G6" s="7" t="n">
        <v>699900</v>
      </c>
      <c r="H6" s="7">
        <f>IF(D6&gt;0,F6/D6,"-")</f>
        <v/>
      </c>
    </row>
    <row r="7" ht="18" customHeight="1">
      <c r="A7" s="4" t="inlineStr">
        <is>
          <t>1 Bed + Den</t>
        </is>
      </c>
      <c r="B7" s="4" t="inlineStr">
        <is>
          <t>B10</t>
        </is>
      </c>
      <c r="C7" s="5" t="n">
        <v>3</v>
      </c>
      <c r="D7" s="6" t="n">
        <v>618</v>
      </c>
      <c r="E7" s="6" t="n">
        <v>618</v>
      </c>
      <c r="F7" s="7" t="n">
        <v>699900</v>
      </c>
      <c r="G7" s="7" t="n">
        <v>729900</v>
      </c>
      <c r="H7" s="7">
        <f>IF(D7&gt;0,F7/D7,"-")</f>
        <v/>
      </c>
    </row>
    <row r="8" ht="18" customHeight="1">
      <c r="A8" s="4" t="inlineStr">
        <is>
          <t>Jr. 2 Bed</t>
        </is>
      </c>
      <c r="B8" s="4" t="inlineStr">
        <is>
          <t>A17, A16</t>
        </is>
      </c>
      <c r="C8" s="5" t="n">
        <v>33</v>
      </c>
      <c r="D8" s="6" t="n">
        <v>720</v>
      </c>
      <c r="E8" s="6" t="n">
        <v>775</v>
      </c>
      <c r="F8" s="7" t="n">
        <v>769900</v>
      </c>
      <c r="G8" s="7" t="n">
        <v>849900</v>
      </c>
      <c r="H8" s="7">
        <f>IF(D8&gt;0,F8/D8,"-")</f>
        <v/>
      </c>
    </row>
    <row r="9" ht="18" customHeight="1">
      <c r="A9" s="4" t="inlineStr">
        <is>
          <t>2 Bed / 2 Bath</t>
        </is>
      </c>
      <c r="B9" s="4" t="inlineStr">
        <is>
          <t>Ba, B</t>
        </is>
      </c>
      <c r="C9" s="5" t="n">
        <v>12</v>
      </c>
      <c r="D9" s="6" t="n">
        <v>830</v>
      </c>
      <c r="E9" s="6" t="n">
        <v>1553</v>
      </c>
      <c r="F9" s="7" t="n">
        <v>899900</v>
      </c>
      <c r="G9" s="7" t="n">
        <v>1099900</v>
      </c>
      <c r="H9" s="7">
        <f>IF(D9&gt;0,F9/D9,"-")</f>
        <v/>
      </c>
    </row>
    <row r="10" ht="18" customHeight="1">
      <c r="A10" s="4" t="inlineStr">
        <is>
          <t>Jr. 3 Bed</t>
        </is>
      </c>
      <c r="B10" s="4" t="inlineStr">
        <is>
          <t>B1, B1a</t>
        </is>
      </c>
      <c r="C10" s="5" t="n">
        <v>14</v>
      </c>
      <c r="D10" s="6" t="n">
        <v>970</v>
      </c>
      <c r="E10" s="6" t="n">
        <v>1020</v>
      </c>
      <c r="F10" s="7" t="n">
        <v>1029900</v>
      </c>
      <c r="G10" s="7" t="n">
        <v>1099900</v>
      </c>
      <c r="H10" s="7">
        <f>IF(D10&gt;0,F10/D10,"-")</f>
        <v/>
      </c>
    </row>
    <row r="11" ht="18" customHeight="1">
      <c r="A11" s="4" t="inlineStr">
        <is>
          <t>3 Bed</t>
        </is>
      </c>
      <c r="B11" s="4" t="inlineStr">
        <is>
          <t>C, C1</t>
        </is>
      </c>
      <c r="C11" s="5" t="n">
        <v>5</v>
      </c>
      <c r="D11" s="6" t="n">
        <v>1150</v>
      </c>
      <c r="E11" s="6" t="n">
        <v>1200</v>
      </c>
      <c r="F11" s="7" t="n">
        <v>1199900</v>
      </c>
      <c r="G11" s="7" t="n">
        <v>1299900</v>
      </c>
      <c r="H11" s="7">
        <f>IF(D11&gt;0,F11/D11,"-")</f>
        <v/>
      </c>
    </row>
    <row r="12" ht="20" customHeight="1">
      <c r="A12" s="8" t="inlineStr">
        <is>
          <t>WEIGHTED AVERAGE PPSF</t>
        </is>
      </c>
      <c r="B12" s="9" t="n"/>
      <c r="C12" s="9" t="n"/>
      <c r="D12" s="9" t="n"/>
      <c r="E12" s="9" t="n"/>
      <c r="F12" s="9" t="n"/>
      <c r="G12" s="9" t="n"/>
      <c r="H12" s="10">
        <f>IF(SUMPRODUCT(C5:C11,H5:H11)&gt;0,SUMPRODUCT(C5:C11,H5:H11)/SUM(C5:C11),"-")</f>
        <v/>
      </c>
    </row>
    <row r="13">
      <c r="A13" s="11" t="inlineStr">
        <is>
          <t>* Yellow cells (Count) are editable — update to recalculate the weighted average PPSF automatically.</t>
        </is>
      </c>
    </row>
  </sheetData>
  <mergeCells count="3">
    <mergeCell ref="A13:H1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9" customWidth="1" min="3" max="3"/>
    <col width="14" customWidth="1" min="4" max="4"/>
    <col width="18" customWidth="1" min="5" max="5"/>
    <col width="14" customWidth="1" min="6" max="6"/>
  </cols>
  <sheetData>
    <row r="1" ht="24" customHeight="1">
      <c r="A1" s="1" t="inlineStr">
        <is>
          <t>Harth at Tamanawis Park Newton — Plan Detail</t>
        </is>
      </c>
    </row>
    <row r="2" ht="20" customHeight="1">
      <c r="A2" s="3" t="inlineStr">
        <is>
          <t>Unit Type</t>
        </is>
      </c>
      <c r="B2" s="3" t="inlineStr">
        <is>
          <t>Plan Name</t>
        </is>
      </c>
      <c r="C2" s="3" t="inlineStr">
        <is>
          <t>Count</t>
        </is>
      </c>
      <c r="D2" s="3" t="inlineStr">
        <is>
          <t>Interior SF</t>
        </is>
      </c>
      <c r="E2" s="3" t="inlineStr">
        <is>
          <t>Starting Price</t>
        </is>
      </c>
      <c r="F2" s="3" t="inlineStr">
        <is>
          <t>Starting PPSF</t>
        </is>
      </c>
    </row>
    <row r="3" ht="18" customHeight="1">
      <c r="A3" s="4" t="inlineStr">
        <is>
          <t>Studio</t>
        </is>
      </c>
      <c r="B3" s="4" t="inlineStr">
        <is>
          <t>Studio A</t>
        </is>
      </c>
      <c r="C3" s="5" t="n">
        <v>2</v>
      </c>
      <c r="D3" s="6" t="inlineStr">
        <is>
          <t>367–374</t>
        </is>
      </c>
      <c r="E3" s="7" t="n">
        <v>499900</v>
      </c>
      <c r="F3" s="7" t="n">
        <v>1362</v>
      </c>
    </row>
    <row r="4" ht="18" customHeight="1">
      <c r="A4" s="4" t="inlineStr">
        <is>
          <t>Studio</t>
        </is>
      </c>
      <c r="B4" s="4" t="inlineStr">
        <is>
          <t>Studio B</t>
        </is>
      </c>
      <c r="C4" s="5" t="n">
        <v>2</v>
      </c>
      <c r="D4" s="6" t="inlineStr">
        <is>
          <t>367–374</t>
        </is>
      </c>
      <c r="E4" s="7" t="n">
        <v>499900</v>
      </c>
      <c r="F4" s="7" t="n">
        <v>1362</v>
      </c>
    </row>
    <row r="5" ht="18" customHeight="1">
      <c r="A5" s="4" t="inlineStr">
        <is>
          <t>1 Bed</t>
        </is>
      </c>
      <c r="B5" s="4" t="inlineStr">
        <is>
          <t>A</t>
        </is>
      </c>
      <c r="C5" s="5" t="n">
        <v>6</v>
      </c>
      <c r="D5" s="6" t="inlineStr">
        <is>
          <t>510–604</t>
        </is>
      </c>
      <c r="E5" s="7" t="n">
        <v>619900</v>
      </c>
      <c r="F5" s="7" t="n">
        <v>1215</v>
      </c>
    </row>
    <row r="6" ht="18" customHeight="1">
      <c r="A6" s="4" t="inlineStr">
        <is>
          <t>1 Bed</t>
        </is>
      </c>
      <c r="B6" s="4" t="inlineStr">
        <is>
          <t>A1</t>
        </is>
      </c>
      <c r="C6" s="5" t="n">
        <v>6</v>
      </c>
      <c r="D6" s="6" t="inlineStr">
        <is>
          <t>510–604</t>
        </is>
      </c>
      <c r="E6" s="7" t="n">
        <v>619900</v>
      </c>
      <c r="F6" s="7" t="n">
        <v>1215</v>
      </c>
    </row>
    <row r="7" ht="18" customHeight="1">
      <c r="A7" s="4" t="inlineStr">
        <is>
          <t>1 Bed</t>
        </is>
      </c>
      <c r="B7" s="4" t="inlineStr">
        <is>
          <t>Ab</t>
        </is>
      </c>
      <c r="C7" s="5" t="n">
        <v>6</v>
      </c>
      <c r="D7" s="6" t="inlineStr">
        <is>
          <t>510–604</t>
        </is>
      </c>
      <c r="E7" s="7" t="n">
        <v>619900</v>
      </c>
      <c r="F7" s="7" t="n">
        <v>1215</v>
      </c>
    </row>
    <row r="8" ht="18" customHeight="1">
      <c r="A8" s="4" t="inlineStr">
        <is>
          <t>1 Bed + Den</t>
        </is>
      </c>
      <c r="B8" s="4" t="inlineStr">
        <is>
          <t>B10</t>
        </is>
      </c>
      <c r="C8" s="5" t="n">
        <v>3</v>
      </c>
      <c r="D8" s="6" t="n">
        <v>618</v>
      </c>
      <c r="E8" s="7" t="n">
        <v>699900</v>
      </c>
      <c r="F8" s="7" t="n">
        <v>1133</v>
      </c>
    </row>
    <row r="9" ht="18" customHeight="1">
      <c r="A9" s="4" t="inlineStr">
        <is>
          <t>Jr. 2 Bed</t>
        </is>
      </c>
      <c r="B9" s="4" t="inlineStr">
        <is>
          <t>A17</t>
        </is>
      </c>
      <c r="C9" s="5" t="n">
        <v>16</v>
      </c>
      <c r="D9" s="6" t="inlineStr">
        <is>
          <t>720–775</t>
        </is>
      </c>
      <c r="E9" s="7" t="n">
        <v>769900</v>
      </c>
      <c r="F9" s="7" t="n">
        <v>1069</v>
      </c>
    </row>
    <row r="10" ht="18" customHeight="1">
      <c r="A10" s="4" t="inlineStr">
        <is>
          <t>Jr. 2 Bed</t>
        </is>
      </c>
      <c r="B10" s="4" t="inlineStr">
        <is>
          <t>A16</t>
        </is>
      </c>
      <c r="C10" s="5" t="n">
        <v>16</v>
      </c>
      <c r="D10" s="6" t="inlineStr">
        <is>
          <t>720–775</t>
        </is>
      </c>
      <c r="E10" s="7" t="n">
        <v>769900</v>
      </c>
      <c r="F10" s="7" t="n">
        <v>1069</v>
      </c>
    </row>
    <row r="11" ht="18" customHeight="1">
      <c r="A11" s="4" t="inlineStr">
        <is>
          <t>2 Bed / 2 Bath</t>
        </is>
      </c>
      <c r="B11" s="4" t="inlineStr">
        <is>
          <t>Ba</t>
        </is>
      </c>
      <c r="C11" s="5" t="n">
        <v>6</v>
      </c>
      <c r="D11" s="6" t="inlineStr">
        <is>
          <t>830–1553</t>
        </is>
      </c>
      <c r="E11" s="7" t="n">
        <v>899900</v>
      </c>
      <c r="F11" s="7" t="n">
        <v>1084</v>
      </c>
    </row>
    <row r="12" ht="18" customHeight="1">
      <c r="A12" s="4" t="inlineStr">
        <is>
          <t>2 Bed / 2 Bath</t>
        </is>
      </c>
      <c r="B12" s="4" t="inlineStr">
        <is>
          <t>B</t>
        </is>
      </c>
      <c r="C12" s="5" t="n">
        <v>6</v>
      </c>
      <c r="D12" s="6" t="inlineStr">
        <is>
          <t>830–1553</t>
        </is>
      </c>
      <c r="E12" s="7" t="n">
        <v>899900</v>
      </c>
      <c r="F12" s="7" t="n">
        <v>1084</v>
      </c>
    </row>
    <row r="13" ht="18" customHeight="1">
      <c r="A13" s="4" t="inlineStr">
        <is>
          <t>Jr. 3 Bed</t>
        </is>
      </c>
      <c r="B13" s="4" t="inlineStr">
        <is>
          <t>B1</t>
        </is>
      </c>
      <c r="C13" s="5" t="n">
        <v>7</v>
      </c>
      <c r="D13" s="6" t="inlineStr">
        <is>
          <t>970–1020</t>
        </is>
      </c>
      <c r="E13" s="7" t="n">
        <v>1029900</v>
      </c>
      <c r="F13" s="7" t="n">
        <v>1062</v>
      </c>
    </row>
    <row r="14" ht="18" customHeight="1">
      <c r="A14" s="4" t="inlineStr">
        <is>
          <t>Jr. 3 Bed</t>
        </is>
      </c>
      <c r="B14" s="4" t="inlineStr">
        <is>
          <t>B1a</t>
        </is>
      </c>
      <c r="C14" s="5" t="n">
        <v>7</v>
      </c>
      <c r="D14" s="6" t="inlineStr">
        <is>
          <t>970–1020</t>
        </is>
      </c>
      <c r="E14" s="7" t="n">
        <v>1029900</v>
      </c>
      <c r="F14" s="7" t="n">
        <v>1062</v>
      </c>
    </row>
    <row r="15" ht="18" customHeight="1">
      <c r="A15" s="4" t="inlineStr">
        <is>
          <t>3 Bed</t>
        </is>
      </c>
      <c r="B15" s="4" t="inlineStr">
        <is>
          <t>C</t>
        </is>
      </c>
      <c r="C15" s="5" t="n">
        <v>2</v>
      </c>
      <c r="D15" s="6" t="inlineStr">
        <is>
          <t>1150–1200</t>
        </is>
      </c>
      <c r="E15" s="7" t="n">
        <v>1199900</v>
      </c>
      <c r="F15" s="7" t="n">
        <v>1043</v>
      </c>
    </row>
    <row r="16" ht="18" customHeight="1">
      <c r="A16" s="4" t="inlineStr">
        <is>
          <t>3 Bed</t>
        </is>
      </c>
      <c r="B16" s="4" t="inlineStr">
        <is>
          <t>C1</t>
        </is>
      </c>
      <c r="C16" s="5" t="n">
        <v>2</v>
      </c>
      <c r="D16" s="6" t="inlineStr">
        <is>
          <t>1150–1200</t>
        </is>
      </c>
      <c r="E16" s="7" t="n">
        <v>1199900</v>
      </c>
      <c r="F16" s="7" t="n">
        <v>1043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2026-06-24T21:01:27Z</dcterms:created>
  <dcterms:modified xmlns:dcterms="http://purl.org/dc/terms/" xmlns:xsi="http://www.w3.org/2001/XMLSchema-instance" xsi:type="dcterms:W3CDTF">2026-06-24T21:01:27Z</dcterms:modified>
</cp:coreProperties>
</file>